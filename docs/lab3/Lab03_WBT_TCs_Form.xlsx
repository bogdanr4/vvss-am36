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BF2CF288-1087-4406-B06B-62FB5E41792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4" l="1"/>
  <c r="B25" i="4"/>
</calcChain>
</file>

<file path=xl/sharedStrings.xml><?xml version="1.0" encoding="utf-8"?>
<sst xmlns="http://schemas.openxmlformats.org/spreadsheetml/2006/main" count="263" uniqueCount="136">
  <si>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</si>
  <si>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</si>
  <si>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</si>
  <si>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</si>
  <si>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</si>
  <si>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</si>
  <si>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</si>
  <si>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</si>
  <si>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</si>
  <si>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</si>
  <si>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</si>
  <si>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</si>
  <si>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</si>
  <si>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</si>
  <si>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</si>
  <si>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</si>
  <si>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</si>
  <si>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</si>
  <si>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CC1 = No. of regions =</t>
  </si>
  <si>
    <t>…</t>
  </si>
  <si>
    <t>Req02_L01</t>
  </si>
  <si>
    <t>CC2 = Edges - Nodes + 2 =</t>
  </si>
  <si>
    <t>Req02_L02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</si>
  <si>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</si>
  <si>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</si>
  <si>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</si>
  <si>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</si>
  <si>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</si>
  <si>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</si>
  <si>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</si>
  <si>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</si>
  <si>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</si>
  <si>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</si>
  <si>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</si>
  <si>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</si>
  <si>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</si>
  <si>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</si>
  <si>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</si>
  <si>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</si>
  <si>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</si>
  <si>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</si>
  <si>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</si>
  <si>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</si>
  <si>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</si>
  <si>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</si>
  <si>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</si>
  <si>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</si>
  <si>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</si>
  <si>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</si>
  <si>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</si>
  <si>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</si>
  <si>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</si>
  <si>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</si>
  <si>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</si>
  <si>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</si>
  <si>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</si>
  <si>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</si>
  <si>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</si>
  <si>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</si>
  <si>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</si>
  <si>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</si>
  <si>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</si>
  <si>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</si>
  <si>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</si>
  <si>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</si>
  <si>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</si>
  <si>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</si>
  <si>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</si>
  <si>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</si>
  <si>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</si>
  <si>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</si>
  <si>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</si>
  <si>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</si>
  <si>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Rezuș Bogdan</t>
  </si>
  <si>
    <t>Rotaru Andrei-Ionuț</t>
  </si>
  <si>
    <t>Răduță Cristian</t>
  </si>
  <si>
    <t>1. Evidenţa bauturilor din magazin</t>
  </si>
  <si>
    <t>Gestiunea bauturilor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</si>
  <si>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validarea unei retete (Reteta ( = id, lista ingrediente))</t>
    </r>
  </si>
  <si>
    <t>1 - 2(F) - 4 - 5(F) - 7 - 8(T) - 9(F) - 11 - 8(F) - 12(F) - 14</t>
  </si>
  <si>
    <t>F02_P04</t>
  </si>
  <si>
    <t>F02_P05</t>
  </si>
  <si>
    <t>F02_P06</t>
  </si>
  <si>
    <t>1 - 2(F) - 4 - 5(F) - 7 - 8(T) - 9(T) - 10 - 11 - 8(F) - 12(F) - 14</t>
  </si>
  <si>
    <t>1 - 2(F) - 4 - 5(F) - 7 - 8(F) - 12(F) - 14</t>
  </si>
  <si>
    <t>F02_TC03</t>
  </si>
  <si>
    <t>F02_TC05</t>
  </si>
  <si>
    <t>F02_TC04</t>
  </si>
  <si>
    <t>F02_TC06</t>
  </si>
  <si>
    <t>X</t>
  </si>
  <si>
    <t>no exception thrown</t>
  </si>
  <si>
    <t>F02_Cond01</t>
  </si>
  <si>
    <t>F02_Cond0</t>
  </si>
  <si>
    <t xml:space="preserve">F02_Cond03 </t>
  </si>
  <si>
    <t>F02_Cond04</t>
  </si>
  <si>
    <t>F02_Cond05</t>
  </si>
  <si>
    <t>1, 4, 7, 11, 14</t>
  </si>
  <si>
    <t>exception: id &lt;= 0</t>
  </si>
  <si>
    <t>(1, list())</t>
  </si>
  <si>
    <t>exception: ingrediente empty</t>
  </si>
  <si>
    <t>1 - 2(T) - 3 - 4 - 5(F) - 7 - 8(T) - 9(F) - 11 - 8(F) - 12(T) - 13 - 14</t>
  </si>
  <si>
    <t>1 - 2(F) - 4 - 5(T) - 6 - 7 - 8(F) - 12(T) - 13 - 14</t>
  </si>
  <si>
    <t>(1, list(ingredient cu cantitate = 0))</t>
  </si>
  <si>
    <t>(id, lista ingrediente)</t>
  </si>
  <si>
    <t>exception / no exception</t>
  </si>
  <si>
    <t>(1, list(ingredient cu cantitate = 1))</t>
  </si>
  <si>
    <t>exception: ingredient cantitate &lt;= 0</t>
  </si>
  <si>
    <t>1, 3, 4, 7, 11, 13, 14</t>
  </si>
  <si>
    <t>1, 4, 6, 7, 11, 13, 14</t>
  </si>
  <si>
    <t>1, 4, 7, 10, 11, 13, 14</t>
  </si>
  <si>
    <t>(1, list(ingredient cu cantitate = 1, lungime 10))</t>
  </si>
  <si>
    <t>F02_TC07</t>
  </si>
  <si>
    <t>F02_TC08</t>
  </si>
  <si>
    <t>F02_TC09</t>
  </si>
  <si>
    <t>F02_TC10</t>
  </si>
  <si>
    <t>(1, list(ingredient cu cantitate = 1, lungime n))</t>
  </si>
  <si>
    <t>(1, list(ingredient cu cantitate = 1, lungime n-1))</t>
  </si>
  <si>
    <t>(1, list(ingredient cu cantitate = 1, lungime n+1))</t>
  </si>
  <si>
    <t>(1, list(ingredient cu cantitate = 1, lungime 2))</t>
  </si>
  <si>
    <t>1 - 2(T) - 3 - 4 - 5(T) - 6 - 7 - 8(F) - 12(T) - 13 - 14</t>
  </si>
  <si>
    <t>(0, list())</t>
  </si>
  <si>
    <t>exception: ingrediente empty, id &lt;= 0</t>
  </si>
  <si>
    <t>1, 3, 4, 6, 7, 13, 14</t>
  </si>
  <si>
    <t>n = numărul maxim de parcurgeri al buclei, exemplu 2,147,483,647 marime maxima lista in java</t>
  </si>
  <si>
    <t>no exception thrown sau java error</t>
  </si>
  <si>
    <t>(0, list(ingredient cu cantitate = 1))</t>
  </si>
  <si>
    <t>id</t>
  </si>
  <si>
    <t>lista ingrediente</t>
  </si>
  <si>
    <t>list(ingredient cu cantitate = 1)</t>
  </si>
  <si>
    <t>list()</t>
  </si>
  <si>
    <t>list(ingredient cu cantitate = 0)</t>
  </si>
  <si>
    <t>list(ingrediente cu cantitate = 1, size 10)</t>
  </si>
  <si>
    <t>list(ingredient cu cantitate = 1, size 2)</t>
  </si>
  <si>
    <t>list(ingredient cu cantitate = 1, size n)</t>
  </si>
  <si>
    <t>list(ingredient cu cantitate = 1, size n-1)</t>
  </si>
  <si>
    <t>list(ingredient cu cantitate = 1, size n+1)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</si>
</sst>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2" borderId="4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0" fillId="0" borderId="0" xfId="0" applyFont="1"/>
    <xf numFmtId="0" fontId="11" fillId="3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left" vertical="center" wrapText="1"/>
    </xf>
    <xf numFmtId="0" fontId="12" fillId="4" borderId="6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horizontal="center" vertical="center"/>
    </xf>
    <xf numFmtId="0" fontId="7" fillId="0" borderId="0" xfId="0" applyFont="1"/>
    <xf numFmtId="0" fontId="0" fillId="2" borderId="6" xfId="0" applyFill="1" applyBorder="1"/>
    <xf numFmtId="0" fontId="0" fillId="7" borderId="6" xfId="0" applyFill="1" applyBorder="1"/>
    <xf numFmtId="0" fontId="0" fillId="2" borderId="8" xfId="0" applyFill="1" applyBorder="1"/>
    <xf numFmtId="0" fontId="0" fillId="0" borderId="6" xfId="0" applyBorder="1"/>
    <xf numFmtId="0" fontId="0" fillId="2" borderId="9" xfId="0" applyFill="1" applyBorder="1"/>
    <xf numFmtId="0" fontId="0" fillId="7" borderId="8" xfId="0" applyFill="1" applyBorder="1"/>
    <xf numFmtId="0" fontId="0" fillId="2" borderId="10" xfId="0" applyFill="1" applyBorder="1"/>
    <xf numFmtId="0" fontId="6" fillId="8" borderId="0" xfId="0" applyFont="1" applyFill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3" fillId="0" borderId="0" xfId="0" applyFont="1"/>
    <xf numFmtId="0" fontId="14" fillId="0" borderId="0" xfId="0" applyFont="1"/>
    <xf numFmtId="0" fontId="6" fillId="8" borderId="29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7" borderId="25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11" borderId="27" xfId="0" applyFont="1" applyFill="1" applyBorder="1" applyAlignment="1">
      <alignment horizontal="center" vertical="center"/>
    </xf>
    <xf numFmtId="0" fontId="6" fillId="11" borderId="28" xfId="0" applyFont="1" applyFill="1" applyBorder="1" applyAlignment="1">
      <alignment horizontal="center" vertical="center"/>
    </xf>
    <xf numFmtId="0" fontId="6" fillId="11" borderId="30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10" borderId="23" xfId="0" applyFont="1" applyFill="1" applyBorder="1" applyAlignment="1">
      <alignment horizontal="center" vertical="center"/>
    </xf>
    <xf numFmtId="0" fontId="6" fillId="10" borderId="24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6" fillId="11" borderId="6" xfId="0" applyFont="1" applyFill="1" applyBorder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6" fillId="0" borderId="6" xfId="0" applyFont="1" applyBorder="1" applyAlignment="1">
      <alignment horizontal="left" vertical="center"/>
    </xf>
    <xf numFmtId="0" fontId="1" fillId="8" borderId="9" xfId="0" applyFont="1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9" borderId="6" xfId="0" applyFont="1" applyFill="1" applyBorder="1" applyAlignment="1">
      <alignment horizontal="center"/>
    </xf>
    <xf numFmtId="0" fontId="11" fillId="0" borderId="18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5" xfId="0" applyBorder="1" applyAlignment="1">
      <alignment horizontal="left"/>
    </xf>
    <xf numFmtId="0" fontId="12" fillId="0" borderId="0" xfId="0" applyFont="1" applyBorder="1" applyAlignment="1">
      <alignment vertical="center" wrapText="1"/>
    </xf>
    <xf numFmtId="0" fontId="12" fillId="13" borderId="0" xfId="0" applyFont="1" applyFill="1" applyBorder="1" applyAlignment="1">
      <alignment vertical="center" wrapText="1"/>
    </xf>
    <xf numFmtId="0" fontId="6" fillId="12" borderId="34" xfId="0" applyFont="1" applyFill="1" applyBorder="1" applyAlignment="1">
      <alignment horizontal="center" vertical="center"/>
    </xf>
    <xf numFmtId="0" fontId="6" fillId="12" borderId="15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197224</xdr:colOff>
      <xdr:row>32</xdr:row>
      <xdr:rowOff>53788</xdr:rowOff>
    </xdr:from>
    <xdr:to>
      <xdr:col>10</xdr:col>
      <xdr:colOff>421746</xdr:colOff>
      <xdr:row>65</xdr:row>
      <xdr:rowOff>98611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4DED98-EB54-57BA-4032-6B276F3DE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824" y="5791200"/>
          <a:ext cx="5791604" cy="5961529"/>
        </a:xfrm>
        <a:prstGeom prst="rect">
          <a:avLst/>
        </a:prstGeom>
      </xdr:spPr>
    </xdr:pic>
    <xdr:clientData/>
  </xdr:twoCellAnchor>
  <xdr:twoCellAnchor editAs="oneCell">
    <xdr:from>
      <xdr:col>2</xdr:col>
      <xdr:colOff>351167</xdr:colOff>
      <xdr:row>15</xdr:row>
      <xdr:rowOff>164394</xdr:rowOff>
    </xdr:from>
    <xdr:to>
      <xdr:col>4</xdr:col>
      <xdr:colOff>189287</xdr:colOff>
      <xdr:row>16</xdr:row>
      <xdr:rowOff>20264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E70E48A-FDFA-BD42-602E-35200C36698F}"/>
                </a:ext>
              </a:extLst>
            </xdr14:cNvPr>
            <xdr14:cNvContentPartPr/>
          </xdr14:nvContentPartPr>
          <xdr14:nvPr macro=""/>
          <xdr14:xfrm>
            <a:off x="1649880" y="2947351"/>
            <a:ext cx="1057320" cy="4140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EE70E48A-FDFA-BD42-602E-35200C36698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95880" y="2839351"/>
              <a:ext cx="1164960" cy="25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457200</xdr:colOff>
      <xdr:row>7</xdr:row>
      <xdr:rowOff>2140</xdr:rowOff>
    </xdr:from>
    <xdr:to>
      <xdr:col>11</xdr:col>
      <xdr:colOff>304800</xdr:colOff>
      <xdr:row>29</xdr:row>
      <xdr:rowOff>65771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2FE50EF-AA80-BDAA-B22F-3472AC39F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257199"/>
          <a:ext cx="6633882" cy="400810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20T13:52:26.872"/>
    </inkml:context>
    <inkml:brush xml:id="br0">
      <inkml:brushProperty name="width" value="0.3" units="cm"/>
      <inkml:brushProperty name="height" value="0.6" units="cm"/>
      <inkml:brushProperty name="color" value="#969696"/>
      <inkml:brushProperty name="tip" value="rectangle"/>
      <inkml:brushProperty name="rasterOp" value="maskPen"/>
      <inkml:brushProperty name="ignorePressure" value="1"/>
    </inkml:brush>
  </inkml:definitions>
  <inkml:trace contextRef="#ctx0" brushRef="#br0">0 22,'2044'0,"-2027"1,0 1,22 5,-21-4,-1 0,22 0,-12-1,-1 1,46 10,-46-7,-1-1,1-1,29 0,-13-5,-14 0,0 1,1 1,55 10,-57-6,1-2,0-1,0-1,32-3,1 0,-28-1,-21-1</inkml:trace>
  <inkml:trace contextRef="#ctx0" brushRef="#br0" timeOffset="1140.7">350 114,'20'-1,"1"-1,21-5,-21 4,41-4,-34 7,-5 1,-1-2,1 0,36-8,-32 5,1 0,-1 2,50 2,-46 1,0-2,54-7,-53 4,1 1,0 1,40 4,50-3,-57-7,-39 3,46 0,369 5,-421-1,41-7,-40 4,38-2,-21 6,74-13,-70 8,1 2,73 5,-31 0,-37-3,46 1,-85 1,0 0,0 1,0 0,0 1,-1 0,1 0,10 7,-9-5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zoomScaleNormal="100" workbookViewId="0">
      <selection activeCell="G37" sqref="G37"/>
    </sheetView>
  </sheetViews>
  <sheetFormatPr defaultColWidth="8.88671875" defaultRowHeight="14.4" x14ac:dyDescent="0.3"/>
  <cols>
    <col min="15" max="15" width="19.5546875" customWidth="1"/>
  </cols>
  <sheetData>
    <row r="1" spans="2:16" x14ac:dyDescent="0.3">
      <c r="B1" s="8"/>
      <c r="D1" s="54" t="s">
        <v>0</v>
      </c>
      <c r="E1" s="55"/>
      <c r="F1" s="55"/>
      <c r="G1" s="56"/>
    </row>
    <row r="2" spans="2:16" x14ac:dyDescent="0.3">
      <c r="B2" s="33" t="s">
        <v>1</v>
      </c>
    </row>
    <row r="4" spans="2:16" x14ac:dyDescent="0.3">
      <c r="B4" s="1" t="s">
        <v>2</v>
      </c>
      <c r="N4" s="5" t="s">
        <v>3</v>
      </c>
      <c r="O4" s="5"/>
      <c r="P4" s="5"/>
    </row>
    <row r="5" spans="2:16" x14ac:dyDescent="0.3">
      <c r="B5" s="1" t="s">
        <v>4</v>
      </c>
      <c r="N5" s="29" t="s">
        <v>5</v>
      </c>
      <c r="O5" s="29"/>
      <c r="P5" s="29"/>
    </row>
    <row r="6" spans="2:16" x14ac:dyDescent="0.3">
      <c r="B6" s="1" t="s">
        <v>6</v>
      </c>
      <c r="N6" s="21"/>
      <c r="O6" s="21" t="s">
        <v>7</v>
      </c>
      <c r="P6" s="21" t="s">
        <v>8</v>
      </c>
    </row>
    <row r="7" spans="2:16" x14ac:dyDescent="0.3">
      <c r="B7" s="1"/>
      <c r="C7" s="1"/>
      <c r="D7" s="1"/>
      <c r="E7" s="1"/>
      <c r="N7" s="21" t="s">
        <v>9</v>
      </c>
      <c r="O7" s="21" t="s">
        <v>73</v>
      </c>
      <c r="P7" s="21">
        <v>236</v>
      </c>
    </row>
    <row r="8" spans="2:16" x14ac:dyDescent="0.3">
      <c r="B8" s="1"/>
      <c r="C8" s="1"/>
      <c r="D8" s="1"/>
      <c r="E8" s="1"/>
      <c r="N8" s="21" t="s">
        <v>10</v>
      </c>
      <c r="O8" s="21" t="s">
        <v>74</v>
      </c>
      <c r="P8" s="21">
        <v>236</v>
      </c>
    </row>
    <row r="9" spans="2:16" x14ac:dyDescent="0.3">
      <c r="B9" t="s">
        <v>76</v>
      </c>
      <c r="C9" s="1"/>
      <c r="D9" s="1"/>
      <c r="E9" s="1"/>
      <c r="N9" s="21" t="s">
        <v>11</v>
      </c>
      <c r="O9" s="21" t="s">
        <v>75</v>
      </c>
      <c r="P9" s="21">
        <v>236</v>
      </c>
    </row>
    <row r="10" spans="2:16" x14ac:dyDescent="0.3">
      <c r="B10" t="s">
        <v>77</v>
      </c>
      <c r="C10" s="1"/>
      <c r="D10" s="1"/>
      <c r="E10" s="1"/>
    </row>
    <row r="11" spans="2:16" x14ac:dyDescent="0.3">
      <c r="B11" s="31" t="s">
        <v>78</v>
      </c>
      <c r="C11" s="1"/>
      <c r="D11" s="1"/>
      <c r="E11" s="1"/>
    </row>
    <row r="12" spans="2:16" x14ac:dyDescent="0.3">
      <c r="C12" s="1"/>
      <c r="D12" s="1"/>
      <c r="E12" s="1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31"/>
  <sheetViews>
    <sheetView zoomScale="85" zoomScaleNormal="85" workbookViewId="0">
      <selection activeCell="R24" sqref="R24:T24"/>
    </sheetView>
  </sheetViews>
  <sheetFormatPr defaultColWidth="8.88671875" defaultRowHeight="14.4" x14ac:dyDescent="0.3"/>
  <cols>
    <col min="2" max="2" width="10" customWidth="1"/>
    <col min="17" max="17" width="10.5546875" customWidth="1"/>
    <col min="20" max="20" width="35.88671875" customWidth="1"/>
  </cols>
  <sheetData>
    <row r="1" spans="2:20" x14ac:dyDescent="0.3">
      <c r="B1" s="8"/>
      <c r="D1" s="54" t="s">
        <v>0</v>
      </c>
      <c r="E1" s="55"/>
      <c r="F1" s="55"/>
      <c r="G1" s="55"/>
      <c r="H1" s="55"/>
      <c r="I1" s="56"/>
    </row>
    <row r="3" spans="2:20" x14ac:dyDescent="0.3">
      <c r="B3" s="69" t="s">
        <v>12</v>
      </c>
      <c r="C3" s="70"/>
      <c r="D3" s="70"/>
      <c r="E3" s="70"/>
      <c r="F3" s="70"/>
      <c r="G3" s="70"/>
      <c r="H3" s="70"/>
      <c r="I3" s="70"/>
      <c r="J3" s="70"/>
      <c r="K3" s="71"/>
    </row>
    <row r="6" spans="2:20" x14ac:dyDescent="0.3">
      <c r="B6" s="54" t="s">
        <v>13</v>
      </c>
      <c r="C6" s="55"/>
      <c r="D6" s="55"/>
      <c r="E6" s="56"/>
      <c r="F6" s="25"/>
      <c r="G6" s="25"/>
      <c r="Q6" s="54" t="s">
        <v>15</v>
      </c>
      <c r="R6" s="55"/>
      <c r="S6" s="55"/>
      <c r="T6" s="55"/>
    </row>
    <row r="8" spans="2:20" x14ac:dyDescent="0.3">
      <c r="B8" s="26" t="s">
        <v>16</v>
      </c>
      <c r="C8" s="81" t="s">
        <v>17</v>
      </c>
      <c r="D8" s="81"/>
      <c r="E8" s="81"/>
      <c r="F8" s="27"/>
      <c r="G8" s="27"/>
      <c r="I8" s="8"/>
      <c r="Q8" s="68" t="s">
        <v>18</v>
      </c>
      <c r="R8" s="68"/>
      <c r="S8" s="68"/>
      <c r="T8" s="28">
        <v>6</v>
      </c>
    </row>
    <row r="9" spans="2:20" x14ac:dyDescent="0.3">
      <c r="B9" s="29" t="s">
        <v>20</v>
      </c>
      <c r="C9" s="67" t="s">
        <v>19</v>
      </c>
      <c r="D9" s="67"/>
      <c r="E9" s="67"/>
      <c r="F9" s="30"/>
      <c r="G9" s="30"/>
      <c r="I9" s="32"/>
      <c r="Q9" s="68" t="s">
        <v>21</v>
      </c>
      <c r="R9" s="68"/>
      <c r="S9" s="68"/>
      <c r="T9" s="28">
        <v>6</v>
      </c>
    </row>
    <row r="10" spans="2:20" x14ac:dyDescent="0.3">
      <c r="B10" s="29" t="s">
        <v>22</v>
      </c>
      <c r="C10" s="67" t="s">
        <v>19</v>
      </c>
      <c r="D10" s="67"/>
      <c r="E10" s="67"/>
      <c r="F10" s="30"/>
      <c r="G10" s="30"/>
      <c r="I10" s="72"/>
      <c r="J10" s="73"/>
      <c r="K10" s="73"/>
      <c r="L10" s="73"/>
      <c r="M10" s="73"/>
      <c r="N10" s="73"/>
      <c r="O10" s="74"/>
      <c r="Q10" s="68" t="s">
        <v>23</v>
      </c>
      <c r="R10" s="68" t="s">
        <v>24</v>
      </c>
      <c r="S10" s="68"/>
      <c r="T10" s="28">
        <v>6</v>
      </c>
    </row>
    <row r="11" spans="2:20" x14ac:dyDescent="0.3">
      <c r="B11" s="29" t="s">
        <v>25</v>
      </c>
      <c r="C11" s="67" t="s">
        <v>19</v>
      </c>
      <c r="D11" s="67"/>
      <c r="E11" s="67"/>
      <c r="F11" s="30"/>
      <c r="G11" s="30"/>
      <c r="I11" s="75"/>
      <c r="J11" s="76"/>
      <c r="K11" s="76"/>
      <c r="L11" s="76"/>
      <c r="M11" s="76"/>
      <c r="N11" s="76"/>
      <c r="O11" s="77"/>
    </row>
    <row r="12" spans="2:20" x14ac:dyDescent="0.3">
      <c r="B12" s="29" t="s">
        <v>26</v>
      </c>
      <c r="C12" s="67" t="s">
        <v>19</v>
      </c>
      <c r="D12" s="67"/>
      <c r="E12" s="67"/>
      <c r="F12" s="30"/>
      <c r="G12" s="30"/>
      <c r="I12" s="75"/>
      <c r="J12" s="76"/>
      <c r="K12" s="76"/>
      <c r="L12" s="76"/>
      <c r="M12" s="76"/>
      <c r="N12" s="76"/>
      <c r="O12" s="77"/>
    </row>
    <row r="13" spans="2:20" x14ac:dyDescent="0.3">
      <c r="B13" s="29" t="s">
        <v>27</v>
      </c>
      <c r="C13" s="67" t="s">
        <v>19</v>
      </c>
      <c r="D13" s="67"/>
      <c r="E13" s="67"/>
      <c r="F13" s="30"/>
      <c r="G13" s="30"/>
      <c r="I13" s="75"/>
      <c r="J13" s="76"/>
      <c r="K13" s="76"/>
      <c r="L13" s="76"/>
      <c r="M13" s="76"/>
      <c r="N13" s="76"/>
      <c r="O13" s="77"/>
      <c r="Q13" s="54" t="s">
        <v>28</v>
      </c>
      <c r="R13" s="55"/>
      <c r="S13" s="55"/>
      <c r="T13" s="55"/>
    </row>
    <row r="14" spans="2:20" x14ac:dyDescent="0.3">
      <c r="B14" s="29" t="s">
        <v>26</v>
      </c>
      <c r="C14" s="67" t="s">
        <v>19</v>
      </c>
      <c r="D14" s="67"/>
      <c r="E14" s="67"/>
      <c r="F14" s="30"/>
      <c r="G14" s="30"/>
      <c r="I14" s="75"/>
      <c r="J14" s="76"/>
      <c r="K14" s="76"/>
      <c r="L14" s="76"/>
      <c r="M14" s="76"/>
      <c r="N14" s="76"/>
      <c r="O14" s="77"/>
    </row>
    <row r="15" spans="2:20" x14ac:dyDescent="0.3">
      <c r="I15" s="75"/>
      <c r="J15" s="76"/>
      <c r="K15" s="76"/>
      <c r="L15" s="76"/>
      <c r="M15" s="76"/>
      <c r="N15" s="76"/>
      <c r="O15" s="77"/>
      <c r="Q15" s="26" t="s">
        <v>29</v>
      </c>
      <c r="R15" s="81" t="s">
        <v>30</v>
      </c>
      <c r="S15" s="81"/>
      <c r="T15" s="81"/>
    </row>
    <row r="16" spans="2:20" x14ac:dyDescent="0.3">
      <c r="I16" s="75"/>
      <c r="J16" s="76"/>
      <c r="K16" s="76"/>
      <c r="L16" s="76"/>
      <c r="M16" s="76"/>
      <c r="N16" s="76"/>
      <c r="O16" s="77"/>
      <c r="Q16" s="29" t="s">
        <v>31</v>
      </c>
      <c r="R16" s="91" t="s">
        <v>79</v>
      </c>
      <c r="S16" s="92"/>
      <c r="T16" s="93"/>
    </row>
    <row r="17" spans="2:20" x14ac:dyDescent="0.3">
      <c r="I17" s="75"/>
      <c r="J17" s="76"/>
      <c r="K17" s="76"/>
      <c r="L17" s="76"/>
      <c r="M17" s="76"/>
      <c r="N17" s="76"/>
      <c r="O17" s="77"/>
      <c r="Q17" s="29" t="s">
        <v>32</v>
      </c>
      <c r="R17" s="66" t="s">
        <v>100</v>
      </c>
      <c r="S17" s="66"/>
      <c r="T17" s="66"/>
    </row>
    <row r="18" spans="2:20" x14ac:dyDescent="0.3">
      <c r="I18" s="75"/>
      <c r="J18" s="76"/>
      <c r="K18" s="76"/>
      <c r="L18" s="76"/>
      <c r="M18" s="76"/>
      <c r="N18" s="76"/>
      <c r="O18" s="77"/>
      <c r="Q18" s="29" t="s">
        <v>33</v>
      </c>
      <c r="R18" s="91" t="s">
        <v>101</v>
      </c>
      <c r="S18" s="92"/>
      <c r="T18" s="93"/>
    </row>
    <row r="19" spans="2:20" x14ac:dyDescent="0.3">
      <c r="I19" s="75"/>
      <c r="J19" s="76"/>
      <c r="K19" s="76"/>
      <c r="L19" s="76"/>
      <c r="M19" s="76"/>
      <c r="N19" s="76"/>
      <c r="O19" s="77"/>
      <c r="Q19" s="29" t="s">
        <v>80</v>
      </c>
      <c r="R19" s="91" t="s">
        <v>83</v>
      </c>
      <c r="S19" s="92"/>
      <c r="T19" s="93"/>
    </row>
    <row r="20" spans="2:20" x14ac:dyDescent="0.3">
      <c r="I20" s="75"/>
      <c r="J20" s="76"/>
      <c r="K20" s="76"/>
      <c r="L20" s="76"/>
      <c r="M20" s="76"/>
      <c r="N20" s="76"/>
      <c r="O20" s="77"/>
      <c r="Q20" s="29" t="s">
        <v>81</v>
      </c>
      <c r="R20" s="91" t="s">
        <v>119</v>
      </c>
      <c r="S20" s="92"/>
      <c r="T20" s="93"/>
    </row>
    <row r="21" spans="2:20" x14ac:dyDescent="0.3">
      <c r="I21" s="75"/>
      <c r="J21" s="76"/>
      <c r="K21" s="76"/>
      <c r="L21" s="76"/>
      <c r="M21" s="76"/>
      <c r="N21" s="76"/>
      <c r="O21" s="77"/>
      <c r="Q21" s="29" t="s">
        <v>82</v>
      </c>
      <c r="R21" s="91" t="s">
        <v>84</v>
      </c>
      <c r="S21" s="92"/>
      <c r="T21" s="93"/>
    </row>
    <row r="22" spans="2:20" x14ac:dyDescent="0.3">
      <c r="I22" s="75"/>
      <c r="J22" s="76"/>
      <c r="K22" s="76"/>
      <c r="L22" s="76"/>
      <c r="M22" s="76"/>
      <c r="N22" s="76"/>
      <c r="O22" s="77"/>
      <c r="Q22" s="29"/>
      <c r="R22" s="66"/>
      <c r="S22" s="66"/>
      <c r="T22" s="66"/>
    </row>
    <row r="23" spans="2:20" x14ac:dyDescent="0.3">
      <c r="I23" s="75"/>
      <c r="J23" s="76"/>
      <c r="K23" s="76"/>
      <c r="L23" s="76"/>
      <c r="M23" s="76"/>
      <c r="N23" s="76"/>
      <c r="O23" s="77"/>
      <c r="Q23" s="29"/>
      <c r="R23" s="66"/>
      <c r="S23" s="66"/>
      <c r="T23" s="66"/>
    </row>
    <row r="24" spans="2:20" x14ac:dyDescent="0.3">
      <c r="I24" s="78"/>
      <c r="J24" s="79"/>
      <c r="K24" s="79"/>
      <c r="L24" s="79"/>
      <c r="M24" s="79"/>
      <c r="N24" s="79"/>
      <c r="O24" s="80"/>
      <c r="Q24" s="29"/>
      <c r="R24" s="66"/>
      <c r="S24" s="66"/>
      <c r="T24" s="66"/>
    </row>
    <row r="25" spans="2:20" x14ac:dyDescent="0.3">
      <c r="Q25" s="29"/>
      <c r="R25" s="66"/>
      <c r="S25" s="66"/>
      <c r="T25" s="66"/>
    </row>
    <row r="26" spans="2:20" x14ac:dyDescent="0.3">
      <c r="Q26" s="29"/>
      <c r="R26" s="66"/>
      <c r="S26" s="66"/>
      <c r="T26" s="66"/>
    </row>
    <row r="27" spans="2:20" x14ac:dyDescent="0.3">
      <c r="Q27" s="29"/>
      <c r="R27" s="66"/>
      <c r="S27" s="66"/>
      <c r="T27" s="66"/>
    </row>
    <row r="28" spans="2:20" x14ac:dyDescent="0.3">
      <c r="Q28" s="29"/>
      <c r="R28" s="66"/>
      <c r="S28" s="66"/>
      <c r="T28" s="66"/>
    </row>
    <row r="29" spans="2:20" x14ac:dyDescent="0.3">
      <c r="Q29" s="29"/>
      <c r="R29" s="66"/>
      <c r="S29" s="66"/>
      <c r="T29" s="66"/>
    </row>
    <row r="30" spans="2:20" x14ac:dyDescent="0.3">
      <c r="Q30" s="29"/>
      <c r="R30" s="66"/>
      <c r="S30" s="66"/>
      <c r="T30" s="66"/>
    </row>
    <row r="31" spans="2:20" x14ac:dyDescent="0.3">
      <c r="B31" s="54" t="s">
        <v>14</v>
      </c>
      <c r="C31" s="55"/>
      <c r="D31" s="55"/>
      <c r="E31" s="55"/>
      <c r="F31" s="55"/>
      <c r="G31" s="55"/>
      <c r="H31" s="55"/>
    </row>
  </sheetData>
  <mergeCells count="33">
    <mergeCell ref="R27:T27"/>
    <mergeCell ref="R28:T28"/>
    <mergeCell ref="R29:T29"/>
    <mergeCell ref="R30:T30"/>
    <mergeCell ref="R22:T22"/>
    <mergeCell ref="R23:T23"/>
    <mergeCell ref="R24:T24"/>
    <mergeCell ref="R25:T25"/>
    <mergeCell ref="R26:T26"/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B31:H31"/>
    <mergeCell ref="Q6:T6"/>
    <mergeCell ref="R17:T17"/>
    <mergeCell ref="R19:T19"/>
    <mergeCell ref="R18:T18"/>
    <mergeCell ref="C9:E9"/>
    <mergeCell ref="Q9:S9"/>
    <mergeCell ref="R16:T16"/>
    <mergeCell ref="C12:E12"/>
    <mergeCell ref="C13:E13"/>
    <mergeCell ref="Q13:T13"/>
    <mergeCell ref="C14:E14"/>
  </mergeCells>
  <phoneticPr fontId="15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21"/>
  <sheetViews>
    <sheetView zoomScale="70" zoomScaleNormal="70" workbookViewId="0">
      <selection activeCell="P15" sqref="P15:P19"/>
    </sheetView>
  </sheetViews>
  <sheetFormatPr defaultColWidth="8.88671875" defaultRowHeight="14.4" x14ac:dyDescent="0.3"/>
  <cols>
    <col min="2" max="2" width="12.33203125" customWidth="1"/>
    <col min="3" max="3" width="39.44140625" customWidth="1"/>
    <col min="4" max="4" width="25.77734375" customWidth="1"/>
    <col min="5" max="5" width="19.88671875" bestFit="1" customWidth="1"/>
    <col min="6" max="6" width="8.109375" customWidth="1"/>
    <col min="7" max="7" width="11.44140625" bestFit="1" customWidth="1"/>
    <col min="8" max="8" width="11.109375" customWidth="1"/>
    <col min="9" max="9" width="9.33203125" customWidth="1"/>
    <col min="10" max="10" width="7.77734375" customWidth="1"/>
    <col min="11" max="11" width="13.21875" customWidth="1"/>
    <col min="12" max="14" width="8.77734375" customWidth="1"/>
    <col min="15" max="15" width="8.6640625" customWidth="1"/>
    <col min="16" max="17" width="8.88671875" customWidth="1"/>
    <col min="21" max="21" width="9.109375" customWidth="1"/>
    <col min="22" max="24" width="2.109375" bestFit="1" customWidth="1"/>
    <col min="25" max="25" width="3.5546875" bestFit="1" customWidth="1"/>
    <col min="26" max="26" width="2.109375" bestFit="1" customWidth="1"/>
    <col min="27" max="27" width="4.109375" bestFit="1" customWidth="1"/>
    <col min="28" max="28" width="5.109375" bestFit="1" customWidth="1"/>
  </cols>
  <sheetData>
    <row r="1" spans="2:28" x14ac:dyDescent="0.3">
      <c r="B1" s="8"/>
      <c r="D1" s="54" t="s">
        <v>0</v>
      </c>
      <c r="E1" s="55"/>
      <c r="F1" s="55"/>
      <c r="G1" s="56"/>
    </row>
    <row r="3" spans="2:28" x14ac:dyDescent="0.3">
      <c r="B3" s="31" t="s">
        <v>78</v>
      </c>
      <c r="C3" s="1"/>
      <c r="D3" s="1"/>
      <c r="E3" s="1"/>
    </row>
    <row r="5" spans="2:28" x14ac:dyDescent="0.3">
      <c r="B5" s="7"/>
    </row>
    <row r="6" spans="2:28" ht="15.6" x14ac:dyDescent="0.3">
      <c r="B6" s="88" t="s">
        <v>34</v>
      </c>
      <c r="C6" s="88" t="s">
        <v>35</v>
      </c>
      <c r="D6" s="89" t="s">
        <v>36</v>
      </c>
      <c r="E6" s="88" t="s">
        <v>37</v>
      </c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</row>
    <row r="7" spans="2:28" ht="15.6" x14ac:dyDescent="0.3">
      <c r="B7" s="88"/>
      <c r="C7" s="88"/>
      <c r="D7" s="90"/>
      <c r="E7" s="85" t="s">
        <v>38</v>
      </c>
      <c r="F7" s="84" t="s">
        <v>39</v>
      </c>
      <c r="G7" s="84"/>
      <c r="H7" s="84"/>
      <c r="I7" s="84"/>
      <c r="J7" s="84"/>
      <c r="K7" s="84"/>
      <c r="L7" s="84"/>
      <c r="M7" s="84"/>
      <c r="N7" s="84"/>
      <c r="O7" s="84"/>
      <c r="P7" s="86" t="s">
        <v>40</v>
      </c>
      <c r="Q7" s="86"/>
      <c r="R7" s="86"/>
      <c r="S7" s="86"/>
      <c r="T7" s="86"/>
      <c r="U7" s="86"/>
      <c r="V7" s="87" t="s">
        <v>41</v>
      </c>
      <c r="W7" s="87"/>
      <c r="X7" s="87"/>
      <c r="Y7" s="87"/>
      <c r="Z7" s="87"/>
      <c r="AA7" s="87"/>
      <c r="AB7" s="87"/>
    </row>
    <row r="8" spans="2:28" ht="15.6" customHeight="1" x14ac:dyDescent="0.3">
      <c r="B8" s="88"/>
      <c r="C8" s="82" t="s">
        <v>103</v>
      </c>
      <c r="D8" s="82" t="s">
        <v>104</v>
      </c>
      <c r="E8" s="85"/>
      <c r="F8" s="84" t="s">
        <v>91</v>
      </c>
      <c r="G8" s="84"/>
      <c r="H8" s="84" t="s">
        <v>92</v>
      </c>
      <c r="I8" s="84"/>
      <c r="J8" s="84" t="s">
        <v>93</v>
      </c>
      <c r="K8" s="84"/>
      <c r="L8" s="84" t="s">
        <v>94</v>
      </c>
      <c r="M8" s="84"/>
      <c r="N8" s="84" t="s">
        <v>95</v>
      </c>
      <c r="O8" s="84"/>
      <c r="P8" s="86" t="s">
        <v>31</v>
      </c>
      <c r="Q8" s="86" t="s">
        <v>32</v>
      </c>
      <c r="R8" s="86" t="s">
        <v>33</v>
      </c>
      <c r="S8" s="86" t="s">
        <v>80</v>
      </c>
      <c r="T8" s="86" t="s">
        <v>81</v>
      </c>
      <c r="U8" s="86" t="s">
        <v>82</v>
      </c>
      <c r="V8" s="87">
        <v>0</v>
      </c>
      <c r="W8" s="87">
        <v>1</v>
      </c>
      <c r="X8" s="87">
        <v>2</v>
      </c>
      <c r="Y8" s="87" t="s">
        <v>42</v>
      </c>
      <c r="Z8" s="87" t="s">
        <v>43</v>
      </c>
      <c r="AA8" s="87" t="s">
        <v>44</v>
      </c>
      <c r="AB8" s="87" t="s">
        <v>45</v>
      </c>
    </row>
    <row r="9" spans="2:28" ht="15.6" x14ac:dyDescent="0.3">
      <c r="B9" s="88"/>
      <c r="C9" s="83"/>
      <c r="D9" s="83"/>
      <c r="E9" s="85"/>
      <c r="F9" s="9" t="s">
        <v>46</v>
      </c>
      <c r="G9" s="9" t="s">
        <v>47</v>
      </c>
      <c r="H9" s="9" t="s">
        <v>46</v>
      </c>
      <c r="I9" s="9" t="s">
        <v>47</v>
      </c>
      <c r="J9" s="9" t="s">
        <v>46</v>
      </c>
      <c r="K9" s="9" t="s">
        <v>47</v>
      </c>
      <c r="L9" s="9" t="s">
        <v>46</v>
      </c>
      <c r="M9" s="9" t="s">
        <v>47</v>
      </c>
      <c r="N9" s="9" t="s">
        <v>46</v>
      </c>
      <c r="O9" s="9" t="s">
        <v>47</v>
      </c>
      <c r="P9" s="86"/>
      <c r="Q9" s="86"/>
      <c r="R9" s="86"/>
      <c r="S9" s="86"/>
      <c r="T9" s="86"/>
      <c r="U9" s="86"/>
      <c r="V9" s="87"/>
      <c r="W9" s="87"/>
      <c r="X9" s="87"/>
      <c r="Y9" s="87"/>
      <c r="Z9" s="87"/>
      <c r="AA9" s="87"/>
      <c r="AB9" s="87"/>
    </row>
    <row r="10" spans="2:28" ht="15.6" x14ac:dyDescent="0.3">
      <c r="B10" s="10" t="s">
        <v>48</v>
      </c>
      <c r="C10" s="10" t="s">
        <v>105</v>
      </c>
      <c r="D10" s="11" t="s">
        <v>90</v>
      </c>
      <c r="E10" s="12" t="s">
        <v>96</v>
      </c>
      <c r="F10" s="13"/>
      <c r="G10" s="13" t="s">
        <v>89</v>
      </c>
      <c r="H10" s="13"/>
      <c r="I10" s="13" t="s">
        <v>89</v>
      </c>
      <c r="J10" s="13" t="s">
        <v>89</v>
      </c>
      <c r="K10" s="13"/>
      <c r="L10" s="13"/>
      <c r="M10" s="13" t="s">
        <v>89</v>
      </c>
      <c r="N10" s="13"/>
      <c r="O10" s="13" t="s">
        <v>89</v>
      </c>
      <c r="P10" s="14" t="s">
        <v>89</v>
      </c>
      <c r="Q10" s="14"/>
      <c r="R10" s="14"/>
      <c r="S10" s="14"/>
      <c r="T10" s="14"/>
      <c r="U10" s="14"/>
      <c r="V10" s="15"/>
      <c r="W10" s="15" t="s">
        <v>89</v>
      </c>
      <c r="X10" s="15"/>
      <c r="Y10" s="15"/>
      <c r="Z10" s="15"/>
      <c r="AA10" s="15"/>
      <c r="AB10" s="15"/>
    </row>
    <row r="11" spans="2:28" ht="15.6" x14ac:dyDescent="0.3">
      <c r="B11" s="10" t="s">
        <v>58</v>
      </c>
      <c r="C11" s="10" t="s">
        <v>125</v>
      </c>
      <c r="D11" s="11" t="s">
        <v>97</v>
      </c>
      <c r="E11" s="12" t="s">
        <v>107</v>
      </c>
      <c r="F11" s="13" t="s">
        <v>89</v>
      </c>
      <c r="G11" s="13"/>
      <c r="H11" s="13"/>
      <c r="I11" s="13" t="s">
        <v>89</v>
      </c>
      <c r="J11" s="13" t="s">
        <v>89</v>
      </c>
      <c r="K11" s="13"/>
      <c r="L11" s="13"/>
      <c r="M11" s="13" t="s">
        <v>89</v>
      </c>
      <c r="N11" s="13" t="s">
        <v>89</v>
      </c>
      <c r="O11" s="13"/>
      <c r="P11" s="14"/>
      <c r="Q11" s="14" t="s">
        <v>89</v>
      </c>
      <c r="R11" s="14"/>
      <c r="S11" s="14"/>
      <c r="T11" s="14"/>
      <c r="U11" s="14"/>
      <c r="V11" s="15"/>
      <c r="W11" s="15" t="s">
        <v>89</v>
      </c>
      <c r="X11" s="15"/>
      <c r="Y11" s="15"/>
      <c r="Z11" s="15"/>
      <c r="AA11" s="15"/>
      <c r="AB11" s="15"/>
    </row>
    <row r="12" spans="2:28" ht="31.2" x14ac:dyDescent="0.3">
      <c r="B12" s="10" t="s">
        <v>85</v>
      </c>
      <c r="C12" s="10" t="s">
        <v>98</v>
      </c>
      <c r="D12" s="11" t="s">
        <v>99</v>
      </c>
      <c r="E12" s="12" t="s">
        <v>108</v>
      </c>
      <c r="F12" s="13"/>
      <c r="G12" s="13" t="s">
        <v>89</v>
      </c>
      <c r="H12" s="13" t="s">
        <v>89</v>
      </c>
      <c r="I12" s="13"/>
      <c r="J12" s="13"/>
      <c r="K12" s="13" t="s">
        <v>89</v>
      </c>
      <c r="L12" s="13"/>
      <c r="M12" s="13"/>
      <c r="N12" s="13" t="s">
        <v>89</v>
      </c>
      <c r="O12" s="13"/>
      <c r="P12" s="14"/>
      <c r="Q12" s="14"/>
      <c r="R12" s="14" t="s">
        <v>89</v>
      </c>
      <c r="S12" s="14"/>
      <c r="T12" s="14"/>
      <c r="U12" s="14"/>
      <c r="V12" s="15" t="s">
        <v>89</v>
      </c>
      <c r="W12" s="15"/>
      <c r="X12" s="15"/>
      <c r="Y12" s="15"/>
      <c r="Z12" s="15"/>
      <c r="AA12" s="15"/>
      <c r="AB12" s="15"/>
    </row>
    <row r="13" spans="2:28" ht="31.2" x14ac:dyDescent="0.3">
      <c r="B13" s="10" t="s">
        <v>87</v>
      </c>
      <c r="C13" s="10" t="s">
        <v>102</v>
      </c>
      <c r="D13" s="11" t="s">
        <v>106</v>
      </c>
      <c r="E13" s="12" t="s">
        <v>109</v>
      </c>
      <c r="F13" s="13"/>
      <c r="G13" s="13" t="s">
        <v>89</v>
      </c>
      <c r="H13" s="13"/>
      <c r="I13" s="13" t="s">
        <v>89</v>
      </c>
      <c r="J13" s="13" t="s">
        <v>89</v>
      </c>
      <c r="K13" s="13"/>
      <c r="L13" s="13" t="s">
        <v>89</v>
      </c>
      <c r="M13" s="13"/>
      <c r="N13" s="13" t="s">
        <v>89</v>
      </c>
      <c r="O13" s="13"/>
      <c r="P13" s="14"/>
      <c r="Q13" s="14"/>
      <c r="R13" s="14"/>
      <c r="S13" s="14" t="s">
        <v>89</v>
      </c>
      <c r="T13" s="14"/>
      <c r="U13" s="14"/>
      <c r="V13" s="15"/>
      <c r="W13" s="15" t="s">
        <v>89</v>
      </c>
      <c r="X13" s="15"/>
      <c r="Y13" s="15"/>
      <c r="Z13" s="15"/>
      <c r="AA13" s="15"/>
      <c r="AB13" s="15"/>
    </row>
    <row r="14" spans="2:28" ht="31.2" x14ac:dyDescent="0.3">
      <c r="B14" s="10" t="s">
        <v>86</v>
      </c>
      <c r="C14" s="10" t="s">
        <v>120</v>
      </c>
      <c r="D14" s="11" t="s">
        <v>121</v>
      </c>
      <c r="E14" s="12" t="s">
        <v>122</v>
      </c>
      <c r="F14" s="13" t="s">
        <v>89</v>
      </c>
      <c r="G14" s="13"/>
      <c r="H14" s="13" t="s">
        <v>89</v>
      </c>
      <c r="I14" s="13"/>
      <c r="J14" s="13"/>
      <c r="K14" s="13" t="s">
        <v>89</v>
      </c>
      <c r="L14" s="13"/>
      <c r="M14" s="13"/>
      <c r="N14" s="13" t="s">
        <v>89</v>
      </c>
      <c r="O14" s="13"/>
      <c r="P14" s="14"/>
      <c r="Q14" s="14"/>
      <c r="R14" s="14"/>
      <c r="S14" s="14"/>
      <c r="T14" s="14" t="s">
        <v>89</v>
      </c>
      <c r="U14" s="14"/>
      <c r="V14" s="15" t="s">
        <v>89</v>
      </c>
      <c r="W14" s="15"/>
      <c r="X14" s="15"/>
      <c r="Y14" s="15"/>
      <c r="Z14" s="15"/>
      <c r="AA14" s="15"/>
      <c r="AB14" s="15"/>
    </row>
    <row r="15" spans="2:28" ht="31.2" x14ac:dyDescent="0.3">
      <c r="B15" s="10" t="s">
        <v>88</v>
      </c>
      <c r="C15" s="10" t="s">
        <v>118</v>
      </c>
      <c r="D15" s="11" t="s">
        <v>90</v>
      </c>
      <c r="E15" s="12" t="s">
        <v>96</v>
      </c>
      <c r="F15" s="13"/>
      <c r="G15" s="13" t="s">
        <v>89</v>
      </c>
      <c r="H15" s="13"/>
      <c r="I15" s="13" t="s">
        <v>89</v>
      </c>
      <c r="J15" s="13" t="s">
        <v>89</v>
      </c>
      <c r="K15" s="13"/>
      <c r="L15" s="13"/>
      <c r="M15" s="13" t="s">
        <v>89</v>
      </c>
      <c r="N15" s="13"/>
      <c r="O15" s="13" t="s">
        <v>89</v>
      </c>
      <c r="P15" s="14"/>
      <c r="Q15" s="14"/>
      <c r="R15" s="14"/>
      <c r="S15" s="14"/>
      <c r="T15" s="14"/>
      <c r="U15" s="14"/>
      <c r="V15" s="15"/>
      <c r="W15" s="15"/>
      <c r="X15" s="15" t="s">
        <v>89</v>
      </c>
      <c r="Y15" s="15"/>
      <c r="Z15" s="15"/>
      <c r="AA15" s="15"/>
      <c r="AB15" s="15"/>
    </row>
    <row r="16" spans="2:28" ht="31.2" x14ac:dyDescent="0.3">
      <c r="B16" s="10" t="s">
        <v>111</v>
      </c>
      <c r="C16" s="10" t="s">
        <v>110</v>
      </c>
      <c r="D16" s="11" t="s">
        <v>90</v>
      </c>
      <c r="E16" s="12" t="s">
        <v>96</v>
      </c>
      <c r="F16" s="13"/>
      <c r="G16" s="13" t="s">
        <v>89</v>
      </c>
      <c r="H16" s="13"/>
      <c r="I16" s="13" t="s">
        <v>89</v>
      </c>
      <c r="J16" s="13" t="s">
        <v>89</v>
      </c>
      <c r="K16" s="13"/>
      <c r="L16" s="13"/>
      <c r="M16" s="13" t="s">
        <v>89</v>
      </c>
      <c r="N16" s="13"/>
      <c r="O16" s="13" t="s">
        <v>89</v>
      </c>
      <c r="P16" s="14"/>
      <c r="Q16" s="14"/>
      <c r="R16" s="14"/>
      <c r="S16" s="14"/>
      <c r="T16" s="14"/>
      <c r="U16" s="14"/>
      <c r="V16" s="15"/>
      <c r="W16" s="15"/>
      <c r="X16" s="15"/>
      <c r="Y16" s="15"/>
      <c r="Z16" s="15"/>
      <c r="AA16" s="15"/>
      <c r="AB16" s="15" t="s">
        <v>89</v>
      </c>
    </row>
    <row r="17" spans="2:28" ht="31.2" x14ac:dyDescent="0.3">
      <c r="B17" s="10" t="s">
        <v>112</v>
      </c>
      <c r="C17" s="10" t="s">
        <v>115</v>
      </c>
      <c r="D17" s="11" t="s">
        <v>90</v>
      </c>
      <c r="E17" s="12" t="s">
        <v>96</v>
      </c>
      <c r="F17" s="13"/>
      <c r="G17" s="13" t="s">
        <v>89</v>
      </c>
      <c r="H17" s="13"/>
      <c r="I17" s="13" t="s">
        <v>89</v>
      </c>
      <c r="J17" s="13" t="s">
        <v>89</v>
      </c>
      <c r="K17" s="13"/>
      <c r="L17" s="13"/>
      <c r="M17" s="13" t="s">
        <v>89</v>
      </c>
      <c r="N17" s="13"/>
      <c r="O17" s="13" t="s">
        <v>89</v>
      </c>
      <c r="P17" s="14"/>
      <c r="Q17" s="14"/>
      <c r="R17" s="14"/>
      <c r="S17" s="14"/>
      <c r="T17" s="14"/>
      <c r="U17" s="14"/>
      <c r="V17" s="15"/>
      <c r="W17" s="15"/>
      <c r="X17" s="15"/>
      <c r="Y17" s="15"/>
      <c r="Z17" s="15" t="s">
        <v>89</v>
      </c>
      <c r="AA17" s="15"/>
      <c r="AB17" s="15"/>
    </row>
    <row r="18" spans="2:28" ht="31.2" x14ac:dyDescent="0.3">
      <c r="B18" s="10" t="s">
        <v>113</v>
      </c>
      <c r="C18" s="10" t="s">
        <v>116</v>
      </c>
      <c r="D18" s="11" t="s">
        <v>90</v>
      </c>
      <c r="E18" s="12" t="s">
        <v>96</v>
      </c>
      <c r="F18" s="13"/>
      <c r="G18" s="13" t="s">
        <v>89</v>
      </c>
      <c r="H18" s="13"/>
      <c r="I18" s="13" t="s">
        <v>89</v>
      </c>
      <c r="J18" s="13" t="s">
        <v>89</v>
      </c>
      <c r="K18" s="13"/>
      <c r="L18" s="13"/>
      <c r="M18" s="13" t="s">
        <v>89</v>
      </c>
      <c r="N18" s="13"/>
      <c r="O18" s="13" t="s">
        <v>89</v>
      </c>
      <c r="P18" s="14"/>
      <c r="Q18" s="14"/>
      <c r="R18" s="14"/>
      <c r="S18" s="14"/>
      <c r="T18" s="14"/>
      <c r="U18" s="14"/>
      <c r="V18" s="15"/>
      <c r="W18" s="15"/>
      <c r="X18" s="15"/>
      <c r="Y18" s="15" t="s">
        <v>89</v>
      </c>
      <c r="Z18" s="15"/>
      <c r="AA18" s="15"/>
      <c r="AB18" s="15"/>
    </row>
    <row r="19" spans="2:28" ht="31.2" x14ac:dyDescent="0.3">
      <c r="B19" s="10" t="s">
        <v>114</v>
      </c>
      <c r="C19" s="10" t="s">
        <v>117</v>
      </c>
      <c r="D19" s="11" t="s">
        <v>124</v>
      </c>
      <c r="E19" s="12" t="s">
        <v>96</v>
      </c>
      <c r="F19" s="13"/>
      <c r="G19" s="13" t="s">
        <v>89</v>
      </c>
      <c r="H19" s="13"/>
      <c r="I19" s="13" t="s">
        <v>89</v>
      </c>
      <c r="J19" s="13" t="s">
        <v>89</v>
      </c>
      <c r="K19" s="13"/>
      <c r="L19" s="13"/>
      <c r="M19" s="13" t="s">
        <v>89</v>
      </c>
      <c r="N19" s="13"/>
      <c r="O19" s="13" t="s">
        <v>89</v>
      </c>
      <c r="P19" s="14"/>
      <c r="Q19" s="14"/>
      <c r="R19" s="14"/>
      <c r="S19" s="14"/>
      <c r="T19" s="14"/>
      <c r="U19" s="14"/>
      <c r="V19" s="15"/>
      <c r="W19" s="15"/>
      <c r="X19" s="15"/>
      <c r="Y19" s="15"/>
      <c r="Z19" s="15"/>
      <c r="AA19" s="15" t="s">
        <v>89</v>
      </c>
      <c r="AB19" s="15"/>
    </row>
    <row r="20" spans="2:28" ht="15.6" x14ac:dyDescent="0.3">
      <c r="B20" s="94"/>
    </row>
    <row r="21" spans="2:28" ht="46.8" x14ac:dyDescent="0.3">
      <c r="B21" s="94"/>
      <c r="C21" s="95" t="s">
        <v>123</v>
      </c>
    </row>
  </sheetData>
  <mergeCells count="29">
    <mergeCell ref="D1:G1"/>
    <mergeCell ref="B6:B9"/>
    <mergeCell ref="C6:C7"/>
    <mergeCell ref="D6:D7"/>
    <mergeCell ref="E6:AB6"/>
    <mergeCell ref="Z8:Z9"/>
    <mergeCell ref="AA8:AA9"/>
    <mergeCell ref="U8:U9"/>
    <mergeCell ref="D8:D9"/>
    <mergeCell ref="F8:G8"/>
    <mergeCell ref="W8:W9"/>
    <mergeCell ref="X8:X9"/>
    <mergeCell ref="Y8:Y9"/>
    <mergeCell ref="T8:T9"/>
    <mergeCell ref="V7:AB7"/>
    <mergeCell ref="AB8:AB9"/>
    <mergeCell ref="H8:I8"/>
    <mergeCell ref="J8:K8"/>
    <mergeCell ref="V8:V9"/>
    <mergeCell ref="P8:P9"/>
    <mergeCell ref="Q8:Q9"/>
    <mergeCell ref="R8:R9"/>
    <mergeCell ref="S8:S9"/>
    <mergeCell ref="L8:M8"/>
    <mergeCell ref="N8:O8"/>
    <mergeCell ref="C8:C9"/>
    <mergeCell ref="E7:E9"/>
    <mergeCell ref="F7:O7"/>
    <mergeCell ref="P7:U7"/>
  </mergeCells>
  <phoneticPr fontId="1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J25"/>
  <sheetViews>
    <sheetView tabSelected="1" workbookViewId="0">
      <selection activeCell="J9" sqref="J9"/>
    </sheetView>
  </sheetViews>
  <sheetFormatPr defaultColWidth="8.88671875" defaultRowHeight="14.4" x14ac:dyDescent="0.3"/>
  <cols>
    <col min="3" max="3" width="7.109375" bestFit="1" customWidth="1"/>
    <col min="4" max="4" width="11.33203125" bestFit="1" customWidth="1"/>
    <col min="5" max="5" width="15.44140625" customWidth="1"/>
    <col min="6" max="6" width="44.109375" customWidth="1"/>
    <col min="7" max="7" width="19.6640625" customWidth="1"/>
    <col min="8" max="8" width="17.6640625" customWidth="1"/>
    <col min="9" max="9" width="16.109375" bestFit="1" customWidth="1"/>
    <col min="11" max="11" width="12.33203125" customWidth="1"/>
  </cols>
  <sheetData>
    <row r="1" spans="2:8" x14ac:dyDescent="0.3">
      <c r="B1" s="8"/>
      <c r="D1" s="54" t="s">
        <v>0</v>
      </c>
      <c r="E1" s="55"/>
      <c r="F1" s="55"/>
    </row>
    <row r="3" spans="2:8" x14ac:dyDescent="0.3">
      <c r="B3" s="57" t="s">
        <v>49</v>
      </c>
      <c r="C3" s="57"/>
      <c r="D3" s="57"/>
      <c r="E3" s="57"/>
      <c r="F3" s="57"/>
      <c r="G3" s="57"/>
      <c r="H3" s="57"/>
    </row>
    <row r="4" spans="2:8" x14ac:dyDescent="0.3">
      <c r="B4" s="58" t="s">
        <v>50</v>
      </c>
      <c r="C4" s="43" t="s">
        <v>51</v>
      </c>
      <c r="D4" s="64" t="s">
        <v>52</v>
      </c>
      <c r="E4" s="60" t="s">
        <v>53</v>
      </c>
      <c r="F4" s="62"/>
      <c r="G4" s="60" t="s">
        <v>54</v>
      </c>
      <c r="H4" s="61"/>
    </row>
    <row r="5" spans="2:8" ht="15" thickBot="1" x14ac:dyDescent="0.35">
      <c r="B5" s="59"/>
      <c r="C5" s="63"/>
      <c r="D5" s="65"/>
      <c r="E5" s="2" t="s">
        <v>126</v>
      </c>
      <c r="F5" s="2" t="s">
        <v>127</v>
      </c>
      <c r="G5" s="2" t="s">
        <v>55</v>
      </c>
      <c r="H5" s="2" t="s">
        <v>56</v>
      </c>
    </row>
    <row r="6" spans="2:8" ht="31.8" thickTop="1" x14ac:dyDescent="0.3">
      <c r="B6" s="16">
        <v>16</v>
      </c>
      <c r="C6" s="96" t="s">
        <v>57</v>
      </c>
      <c r="D6" s="4" t="s">
        <v>48</v>
      </c>
      <c r="E6" s="100">
        <v>1</v>
      </c>
      <c r="F6" s="100" t="s">
        <v>128</v>
      </c>
      <c r="G6" s="11" t="s">
        <v>90</v>
      </c>
      <c r="H6" s="16" t="s">
        <v>19</v>
      </c>
    </row>
    <row r="7" spans="2:8" ht="15.6" x14ac:dyDescent="0.3">
      <c r="B7" s="16">
        <v>17</v>
      </c>
      <c r="C7" s="97"/>
      <c r="D7" s="4" t="s">
        <v>58</v>
      </c>
      <c r="E7" s="98">
        <v>0</v>
      </c>
      <c r="F7" s="101" t="s">
        <v>128</v>
      </c>
      <c r="G7" s="11" t="s">
        <v>97</v>
      </c>
      <c r="H7" s="16" t="s">
        <v>19</v>
      </c>
    </row>
    <row r="8" spans="2:8" ht="31.2" x14ac:dyDescent="0.3">
      <c r="B8" s="16">
        <v>18</v>
      </c>
      <c r="C8" s="97"/>
      <c r="D8" s="4" t="s">
        <v>85</v>
      </c>
      <c r="E8" s="98">
        <v>1</v>
      </c>
      <c r="F8" s="101" t="s">
        <v>129</v>
      </c>
      <c r="G8" s="11" t="s">
        <v>99</v>
      </c>
      <c r="H8" s="16" t="s">
        <v>19</v>
      </c>
    </row>
    <row r="9" spans="2:8" ht="46.8" x14ac:dyDescent="0.3">
      <c r="B9" s="16">
        <v>19</v>
      </c>
      <c r="C9" s="97"/>
      <c r="D9" s="4" t="s">
        <v>87</v>
      </c>
      <c r="E9" s="98">
        <v>1</v>
      </c>
      <c r="F9" s="101" t="s">
        <v>130</v>
      </c>
      <c r="G9" s="11" t="s">
        <v>106</v>
      </c>
      <c r="H9" s="16" t="s">
        <v>19</v>
      </c>
    </row>
    <row r="10" spans="2:8" ht="46.8" x14ac:dyDescent="0.3">
      <c r="B10" s="16">
        <v>20</v>
      </c>
      <c r="C10" s="97"/>
      <c r="D10" s="4" t="s">
        <v>86</v>
      </c>
      <c r="E10" s="98">
        <v>0</v>
      </c>
      <c r="F10" s="101" t="s">
        <v>129</v>
      </c>
      <c r="G10" s="11" t="s">
        <v>121</v>
      </c>
      <c r="H10" s="16" t="s">
        <v>19</v>
      </c>
    </row>
    <row r="11" spans="2:8" ht="31.2" x14ac:dyDescent="0.3">
      <c r="B11" s="16">
        <v>21</v>
      </c>
      <c r="C11" s="97"/>
      <c r="D11" s="4" t="s">
        <v>88</v>
      </c>
      <c r="E11" s="98">
        <v>1</v>
      </c>
      <c r="F11" s="101" t="s">
        <v>132</v>
      </c>
      <c r="G11" s="11" t="s">
        <v>90</v>
      </c>
      <c r="H11" s="16" t="s">
        <v>19</v>
      </c>
    </row>
    <row r="12" spans="2:8" ht="31.2" x14ac:dyDescent="0.3">
      <c r="B12" s="16">
        <v>22</v>
      </c>
      <c r="C12" s="97"/>
      <c r="D12" s="4" t="s">
        <v>111</v>
      </c>
      <c r="E12" s="98">
        <v>1</v>
      </c>
      <c r="F12" s="101" t="s">
        <v>131</v>
      </c>
      <c r="G12" s="11" t="s">
        <v>90</v>
      </c>
      <c r="H12" s="16" t="s">
        <v>19</v>
      </c>
    </row>
    <row r="13" spans="2:8" ht="31.2" x14ac:dyDescent="0.3">
      <c r="B13" s="16">
        <v>23</v>
      </c>
      <c r="C13" s="97"/>
      <c r="D13" s="4" t="s">
        <v>112</v>
      </c>
      <c r="E13" s="98">
        <v>1</v>
      </c>
      <c r="F13" s="101" t="s">
        <v>133</v>
      </c>
      <c r="G13" s="11" t="s">
        <v>90</v>
      </c>
      <c r="H13" s="16" t="s">
        <v>19</v>
      </c>
    </row>
    <row r="14" spans="2:8" ht="31.2" x14ac:dyDescent="0.3">
      <c r="B14" s="16">
        <v>24</v>
      </c>
      <c r="C14" s="97"/>
      <c r="D14" s="4" t="s">
        <v>113</v>
      </c>
      <c r="E14" s="98">
        <v>1</v>
      </c>
      <c r="F14" s="101" t="s">
        <v>134</v>
      </c>
      <c r="G14" s="11" t="s">
        <v>90</v>
      </c>
      <c r="H14" s="16" t="s">
        <v>19</v>
      </c>
    </row>
    <row r="15" spans="2:8" ht="47.4" thickBot="1" x14ac:dyDescent="0.35">
      <c r="B15" s="16">
        <v>25</v>
      </c>
      <c r="C15" s="97"/>
      <c r="D15" s="4" t="s">
        <v>114</v>
      </c>
      <c r="E15" s="99">
        <v>1</v>
      </c>
      <c r="F15" s="101" t="s">
        <v>135</v>
      </c>
      <c r="G15" s="11" t="s">
        <v>124</v>
      </c>
      <c r="H15" s="2" t="s">
        <v>19</v>
      </c>
    </row>
    <row r="16" spans="2:8" ht="15" thickTop="1" x14ac:dyDescent="0.3"/>
    <row r="21" spans="2:10" ht="15" thickBot="1" x14ac:dyDescent="0.35">
      <c r="B21" s="3" t="s">
        <v>59</v>
      </c>
      <c r="G21" s="17"/>
    </row>
    <row r="22" spans="2:10" ht="15.6" thickTop="1" thickBot="1" x14ac:dyDescent="0.35">
      <c r="B22" s="46" t="s">
        <v>60</v>
      </c>
      <c r="C22" s="47"/>
      <c r="D22" s="47"/>
      <c r="E22" s="47"/>
      <c r="F22" s="34" t="s">
        <v>61</v>
      </c>
      <c r="G22" s="47"/>
      <c r="H22" s="48"/>
      <c r="I22" s="52" t="s">
        <v>62</v>
      </c>
      <c r="J22" s="53"/>
    </row>
    <row r="23" spans="2:10" ht="15" thickTop="1" x14ac:dyDescent="0.3">
      <c r="B23" s="35" t="s">
        <v>63</v>
      </c>
      <c r="C23" s="37" t="s">
        <v>64</v>
      </c>
      <c r="D23" s="37" t="s">
        <v>65</v>
      </c>
      <c r="E23" s="39" t="s">
        <v>66</v>
      </c>
      <c r="F23" s="41" t="s">
        <v>67</v>
      </c>
      <c r="G23" s="44" t="s">
        <v>68</v>
      </c>
      <c r="H23" s="49" t="s">
        <v>69</v>
      </c>
      <c r="I23" s="51" t="s">
        <v>70</v>
      </c>
      <c r="J23" s="43" t="s">
        <v>71</v>
      </c>
    </row>
    <row r="24" spans="2:10" x14ac:dyDescent="0.3">
      <c r="B24" s="36"/>
      <c r="C24" s="38"/>
      <c r="D24" s="38"/>
      <c r="E24" s="40"/>
      <c r="F24" s="42"/>
      <c r="G24" s="45"/>
      <c r="H24" s="50"/>
      <c r="I24" s="35"/>
      <c r="J24" s="41"/>
    </row>
    <row r="25" spans="2:10" x14ac:dyDescent="0.3">
      <c r="B25" s="21">
        <f>SUM(C25:D25)</f>
        <v>0</v>
      </c>
      <c r="C25" s="18">
        <v>0</v>
      </c>
      <c r="D25" s="18">
        <v>0</v>
      </c>
      <c r="E25" s="19"/>
      <c r="F25" s="20"/>
      <c r="G25" s="22">
        <v>0</v>
      </c>
      <c r="H25" s="23"/>
      <c r="I25" s="6" t="s">
        <v>72</v>
      </c>
      <c r="J25" s="24">
        <f>C25</f>
        <v>0</v>
      </c>
    </row>
  </sheetData>
  <mergeCells count="20">
    <mergeCell ref="B22:E22"/>
    <mergeCell ref="D1:F1"/>
    <mergeCell ref="B3:H3"/>
    <mergeCell ref="B4:B5"/>
    <mergeCell ref="G4:H4"/>
    <mergeCell ref="E4:F4"/>
    <mergeCell ref="C4:C5"/>
    <mergeCell ref="D4:D5"/>
    <mergeCell ref="C6:C15"/>
    <mergeCell ref="J23:J24"/>
    <mergeCell ref="G23:G24"/>
    <mergeCell ref="G22:H22"/>
    <mergeCell ref="H23:H24"/>
    <mergeCell ref="I23:I24"/>
    <mergeCell ref="I22:J22"/>
    <mergeCell ref="B23:B24"/>
    <mergeCell ref="C23:C24"/>
    <mergeCell ref="D23:D24"/>
    <mergeCell ref="E23:E24"/>
    <mergeCell ref="F23:F24"/>
  </mergeCells>
  <phoneticPr fontId="1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Props1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2026-04-20T14:46:25Z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